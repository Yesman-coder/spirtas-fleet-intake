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1876ea07236de2e/Spirtas Worldwide/Prospects/Venezuela/Equipment/"/>
    </mc:Choice>
  </mc:AlternateContent>
  <xr:revisionPtr revIDLastSave="5" documentId="8_{FB6C6007-4003-4745-8366-6A9C9A968BB0}" xr6:coauthVersionLast="47" xr6:coauthVersionMax="47" xr10:uidLastSave="{2B6D8404-48CA-4178-9A6B-4B6920E05BC4}"/>
  <bookViews>
    <workbookView xWindow="-108" yWindow="-108" windowWidth="23256" windowHeight="13896" xr2:uid="{5C5C75F7-8BFE-414B-A3FC-4BBA4F64C2DF}"/>
  </bookViews>
  <sheets>
    <sheet name="Register" sheetId="1" r:id="rId1"/>
    <sheet name="Quantities Required for Venezu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</calcChain>
</file>

<file path=xl/sharedStrings.xml><?xml version="1.0" encoding="utf-8"?>
<sst xmlns="http://schemas.openxmlformats.org/spreadsheetml/2006/main" count="392" uniqueCount="267">
  <si>
    <t>No.</t>
  </si>
  <si>
    <t>Ref.</t>
  </si>
  <si>
    <t>Unit #</t>
  </si>
  <si>
    <t>Equipment / Make / Model</t>
  </si>
  <si>
    <t>Year</t>
  </si>
  <si>
    <t>Serial / VIN</t>
  </si>
  <si>
    <t>Hours</t>
  </si>
  <si>
    <t>Capacity / Operating Wt.</t>
  </si>
  <si>
    <t>Engine / Emissions</t>
  </si>
  <si>
    <t>Attachments / Tooling</t>
  </si>
  <si>
    <t>Current Condition</t>
  </si>
  <si>
    <t>Current Location</t>
  </si>
  <si>
    <t>Service History / Major Repairs</t>
  </si>
  <si>
    <t>Export Ready?</t>
  </si>
  <si>
    <t>Estimated Mobilization Lead Time</t>
  </si>
  <si>
    <t>Price / Rate (if applicable)</t>
  </si>
  <si>
    <t>Venezuela Commitment / Comments</t>
  </si>
  <si>
    <t>ANSAD-CAT-EXC-349-01</t>
  </si>
  <si>
    <t>Excavator / Caterpillar / 349</t>
  </si>
  <si>
    <t>ANSAD-CAT-EXC-349-02</t>
  </si>
  <si>
    <t>ANSAD-CAT-EXC-349-03</t>
  </si>
  <si>
    <t>ANSAD-CAT-EXC-349-04</t>
  </si>
  <si>
    <t>ANSAD-CAT-EXC-349-05</t>
  </si>
  <si>
    <t>ANSAD-CAT-EXC-349-06</t>
  </si>
  <si>
    <t>ANSAD-CAT-EXC-345-01</t>
  </si>
  <si>
    <t>Excavator / Caterpillar / 345</t>
  </si>
  <si>
    <t>ANSAD-CAT-EXC-345-02</t>
  </si>
  <si>
    <t>ANSAD-CAT-EXC-345-03</t>
  </si>
  <si>
    <t>ANSAD-CAT-EXC-345-04</t>
  </si>
  <si>
    <t>ANSAD-CAT-EXC-336-01</t>
  </si>
  <si>
    <t>Excavator / Caterpillar / 336</t>
  </si>
  <si>
    <t>ANSAD-CAT-EXC-336-02</t>
  </si>
  <si>
    <t>ANSAD-CAT-EXC-336-03</t>
  </si>
  <si>
    <t>ANSAD-CAT-EXC-336-04</t>
  </si>
  <si>
    <t>ANSAD-CAT-EXC-336F-01</t>
  </si>
  <si>
    <t>Excavator / Caterpillar / 336F</t>
  </si>
  <si>
    <t>ANSAD-CAT-EXC-336F-02</t>
  </si>
  <si>
    <t>ANSAD-CAT-EXC-336F-03</t>
  </si>
  <si>
    <t>ANSAD-CAT-EXC-330GC-01</t>
  </si>
  <si>
    <t>Excavator / Caterpillar / 330 GC</t>
  </si>
  <si>
    <t>ANSAD-CAT-EXC-330GC-02</t>
  </si>
  <si>
    <t>ANSAD-CAT-EXC-330GC-03</t>
  </si>
  <si>
    <t>ANSAD-CAT-EXC-330DL-01</t>
  </si>
  <si>
    <t>Excavator / Caterpillar / 330 DL</t>
  </si>
  <si>
    <t>ANSAD-CAT-EXC-330DL-02</t>
  </si>
  <si>
    <t>ANSAD-CAT-EXC-330DL-03</t>
  </si>
  <si>
    <t>ANSAD-CAT-EXC-330DL-04</t>
  </si>
  <si>
    <t>ANSAD-CAT-EXC-330DL-05</t>
  </si>
  <si>
    <t>ANSAD-CAT-EXC-330DL-06</t>
  </si>
  <si>
    <t>ANSAD-CAT-EXC-320-01</t>
  </si>
  <si>
    <t>Excavator / Caterpillar / 320 DC / 320 DL</t>
  </si>
  <si>
    <t>ANSAD-CAT-EXC-320-02</t>
  </si>
  <si>
    <t>ANSAD-CAT-EXC-320-03</t>
  </si>
  <si>
    <t>ANSAD-CAT-EXC-320-04</t>
  </si>
  <si>
    <t>ANSAD-CAT-WL-950-01</t>
  </si>
  <si>
    <t>Wheel Loader / Caterpillar / 950</t>
  </si>
  <si>
    <t>ANSAD-CAT-WL-950-02</t>
  </si>
  <si>
    <t>ANSAD-CAT-WL-966-01</t>
  </si>
  <si>
    <t>Wheel Loader / Caterpillar / 966</t>
  </si>
  <si>
    <t>ANSAD-CAT-WL-966-02</t>
  </si>
  <si>
    <t>ANSAD-CAT-WL-966-03</t>
  </si>
  <si>
    <t>ANSAD-CAT-WL-980-01</t>
  </si>
  <si>
    <t>Wheel Loader / Caterpillar / 980H / 980K</t>
  </si>
  <si>
    <t>ANSAD-CAT-WL-980-02</t>
  </si>
  <si>
    <t>ANSAD-CAT-SS-01</t>
  </si>
  <si>
    <t>Skid Steer / Caterpillar / Model to confirm</t>
  </si>
  <si>
    <t>ANSAD-CAT-SS-02</t>
  </si>
  <si>
    <t>ANSAD-CAT-SS-03</t>
  </si>
  <si>
    <t>ANSAD-CAT-SS-04</t>
  </si>
  <si>
    <t>ANSAD-DT-01</t>
  </si>
  <si>
    <t>Dump Truck / To confirm / Brand new; configuration to confirm</t>
  </si>
  <si>
    <t>ANSAD-DT-02</t>
  </si>
  <si>
    <t>ANSAD-DT-03</t>
  </si>
  <si>
    <t>ANSAD-DT-04</t>
  </si>
  <si>
    <t>ANSAD-DT-05</t>
  </si>
  <si>
    <t>ANSAD-DT-06</t>
  </si>
  <si>
    <t>ANSAD-DT-07</t>
  </si>
  <si>
    <t>ANSAD-DT-08</t>
  </si>
  <si>
    <t>ANSAD-DT-09</t>
  </si>
  <si>
    <t>ANSAD-DT-10</t>
  </si>
  <si>
    <t>ANSAD-DT-11</t>
  </si>
  <si>
    <t>ANSAD-DT-12</t>
  </si>
  <si>
    <t>ANSAD-DT-13</t>
  </si>
  <si>
    <t>ANSAD-DT-14</t>
  </si>
  <si>
    <t>ANSAD-DT-15</t>
  </si>
  <si>
    <t>ANSAD-DT-16</t>
  </si>
  <si>
    <t>ANSAD-MACK-WT-01</t>
  </si>
  <si>
    <t>Water Truck / Mack / 5,000-gal; model to confirm</t>
  </si>
  <si>
    <t>ANSAD-MACK-WT-02</t>
  </si>
  <si>
    <t>ANSAD-MACK-WT-03</t>
  </si>
  <si>
    <t>ANSAD-MACK-WT-04</t>
  </si>
  <si>
    <t>ANSAD-FT-01</t>
  </si>
  <si>
    <t>Fuel Truck / To confirm / Model to confirm</t>
  </si>
  <si>
    <t>ANSAD-FT-02</t>
  </si>
  <si>
    <t>ANSAD-FT-03</t>
  </si>
  <si>
    <t>ANSAD-LOWBOY-TRAILER-01</t>
  </si>
  <si>
    <t>Heavy Haul Lowboy Trailer / Volvo / Mack / Scania / Configuration to confirm</t>
  </si>
  <si>
    <t>ANSAD-LOWBOY-TRAILER-02</t>
  </si>
  <si>
    <t>ANSAD-LOWBOY-TRAILER-03</t>
  </si>
  <si>
    <t>ANSAD-LOWBOY-TRAILER-04</t>
  </si>
  <si>
    <t>ANSAD-HOOKLOADER-TRUCK-01</t>
  </si>
  <si>
    <t>Hookloader Truck / To confirm / Model to confirm</t>
  </si>
  <si>
    <t>ANSAD-HOOKLOADER-TRUCK-02</t>
  </si>
  <si>
    <t>ANSAD-HOOKLOADER-TRUCK-03</t>
  </si>
  <si>
    <t>ANSAD-HOOKLOADER-TRUCK-04</t>
  </si>
  <si>
    <t>ANSAD-HOOKLOADER-BIN-01</t>
  </si>
  <si>
    <t>Set 1 (4 bins)</t>
  </si>
  <si>
    <t>Hookloader Bins / To confirm / Capacity to confirm</t>
  </si>
  <si>
    <t>ANSAD-HOOKLOADER-BIN-02</t>
  </si>
  <si>
    <t>Set 2 (4 bins)</t>
  </si>
  <si>
    <t>ANSAD-HOOKLOADER-BIN-03</t>
  </si>
  <si>
    <t>Set 3 (4 bins)</t>
  </si>
  <si>
    <t>ANSAD-HOOKLOADER-BIN-04</t>
  </si>
  <si>
    <t>Set 4 (4 bins)</t>
  </si>
  <si>
    <t>ANSAD-CONCRETE-CRUSHER-01</t>
  </si>
  <si>
    <t>Mobile Concrete Crusher / To confirm / Model / TPH to confirm</t>
  </si>
  <si>
    <t>ANSAD-CONCRETE-CRUSHER-02</t>
  </si>
  <si>
    <t>ANSAD-CONCRETE-CRUSHER-03</t>
  </si>
  <si>
    <t>ANSAD-CONCRETE-CRUSHER-04</t>
  </si>
  <si>
    <t>ANSAD-SCREENPLANT-01</t>
  </si>
  <si>
    <t>Mobile Screening Plant / To confirm / Model / TPH to confirm</t>
  </si>
  <si>
    <t>ANSAD-SCREENPLANT-02</t>
  </si>
  <si>
    <t>ANSAD-SCREENPLANT-03</t>
  </si>
  <si>
    <t>ANSAD-SCREENPLANT-04</t>
  </si>
  <si>
    <t>ANSAD-CON-STACKER-01</t>
  </si>
  <si>
    <t>Conveyor / Stacker / To confirm / Model / capacity to confirm</t>
  </si>
  <si>
    <t>ANSAD-TELEHANDLER-01</t>
  </si>
  <si>
    <t>Telehandler / To confirm / Model / capacity to confirm</t>
  </si>
  <si>
    <t>ANSAD-TELEHANDLER-02</t>
  </si>
  <si>
    <t>ANSAD-FORKLIFT-01</t>
  </si>
  <si>
    <t>Forklift / To confirm / 15-ton / 18-ton</t>
  </si>
  <si>
    <t>ANSAD-FORKLIFT-02</t>
  </si>
  <si>
    <t>ANSAD-ROUGH-TERRAIN-CRANE-01</t>
  </si>
  <si>
    <t>Rough Terrain Crane / To confirm / 30-130 ton range</t>
  </si>
  <si>
    <t>ANSAD-ROUGH-TERRAIN-CRANE-02</t>
  </si>
  <si>
    <t>ANSAD-GENERATOR-01</t>
  </si>
  <si>
    <t>Generator / To confirm / 15-1,000 kVA range</t>
  </si>
  <si>
    <t>ANSAD-GENERATOR-02</t>
  </si>
  <si>
    <t>ANSAD-GENERATOR-03</t>
  </si>
  <si>
    <t>ANSAD-GENERATOR-04</t>
  </si>
  <si>
    <t>ANSAD-AIR-COMP-01</t>
  </si>
  <si>
    <t>Air Compressor / To confirm / Model / CFM to confirm</t>
  </si>
  <si>
    <t>ANSAD-AIR-COMP-02</t>
  </si>
  <si>
    <t>ANSAD-LIGHT-TOWER-01</t>
  </si>
  <si>
    <t>Lighting Tower / To confirm / Model to confirm</t>
  </si>
  <si>
    <t>ANSAD-LIGHT-TOWER-02</t>
  </si>
  <si>
    <t>ANSAD-LIGHT-TOWER-03</t>
  </si>
  <si>
    <t>ANSAD-LIGHT-TOWER-04</t>
  </si>
  <si>
    <t>ANSAD-LIGHT-TOWER-05</t>
  </si>
  <si>
    <t>ANSAD-LIGHT-TOWER-06</t>
  </si>
  <si>
    <t>ANSAD-LIGHT-TOWER-07</t>
  </si>
  <si>
    <t>ANSAD-LIGHT-TOWER-08</t>
  </si>
  <si>
    <t>ANSAD-WATER-PUMP-01</t>
  </si>
  <si>
    <t>Water Pump / To confirm / Model / flow / head to confirm</t>
  </si>
  <si>
    <t>ANSAD-WATER-PUMP-02</t>
  </si>
  <si>
    <t>ANSAD-WATER-PUMP-03</t>
  </si>
  <si>
    <t>ANSAD-WATER-PUMP-04</t>
  </si>
  <si>
    <t>ANSAD-WELD-PLANT-01</t>
  </si>
  <si>
    <t>Welding Plant / Lincoln / Model to confirm</t>
  </si>
  <si>
    <t>ANSAD-WELD-PLANT-02</t>
  </si>
  <si>
    <t>ANSAD-WELD-PLANT-03</t>
  </si>
  <si>
    <t>ANSAD-WELD-PLANT-04</t>
  </si>
  <si>
    <t>Equipment</t>
  </si>
  <si>
    <t>Make</t>
  </si>
  <si>
    <t>Model / Capacity Known</t>
  </si>
  <si>
    <t>ANSAD Qty Available</t>
  </si>
  <si>
    <t>Qty Spirtas Require for Venezuela</t>
  </si>
  <si>
    <t>Intended Venezuela Use</t>
  </si>
  <si>
    <t>ANSAD: Qty Actually Available / Committed</t>
  </si>
  <si>
    <t>A01</t>
  </si>
  <si>
    <t>Excavator</t>
  </si>
  <si>
    <t>Caterpillar</t>
  </si>
  <si>
    <t>Heavy demolition; closest ANSAD match to 50 MT class</t>
  </si>
  <si>
    <t>A02</t>
  </si>
  <si>
    <t>Heavy demolition / alternate heavy excavator</t>
  </si>
  <si>
    <t>A03</t>
  </si>
  <si>
    <t>40 MT-class demolition candidate</t>
  </si>
  <si>
    <t>A04</t>
  </si>
  <si>
    <t>336F</t>
  </si>
  <si>
    <t>A05</t>
  </si>
  <si>
    <t>330 GC</t>
  </si>
  <si>
    <t>30 MT demolition / processing pad</t>
  </si>
  <si>
    <t>A06</t>
  </si>
  <si>
    <t>330 DL</t>
  </si>
  <si>
    <t>A07</t>
  </si>
  <si>
    <t>320 DC / 320 DL</t>
  </si>
  <si>
    <t>4 total</t>
  </si>
  <si>
    <t>General support / sorting / loading - select best 4 only</t>
  </si>
  <si>
    <t>A08</t>
  </si>
  <si>
    <t>Wheel Loader</t>
  </si>
  <si>
    <t>Processing pad</t>
  </si>
  <si>
    <t>A09</t>
  </si>
  <si>
    <t>Processing pad / production loader</t>
  </si>
  <si>
    <t>A10</t>
  </si>
  <si>
    <t>980H / 980K</t>
  </si>
  <si>
    <t>2 total</t>
  </si>
  <si>
    <t>Heavy processing / reserve - select best 2 only</t>
  </si>
  <si>
    <t>A11</t>
  </si>
  <si>
    <t>Skid Steer</t>
  </si>
  <si>
    <t>Model to confirm</t>
  </si>
  <si>
    <t>Mission / processing pad</t>
  </si>
  <si>
    <t>A12</t>
  </si>
  <si>
    <t>Dump Truck</t>
  </si>
  <si>
    <t>To confirm</t>
  </si>
  <si>
    <t>Brand new; configuration to confirm</t>
  </si>
  <si>
    <t>Initial two-mission haulage fleet; select/identify 16 only</t>
  </si>
  <si>
    <t>A13</t>
  </si>
  <si>
    <t>Water Truck</t>
  </si>
  <si>
    <t>Mack</t>
  </si>
  <si>
    <t>5,000-gal; model to confirm</t>
  </si>
  <si>
    <t>Dust suppression / processing pad</t>
  </si>
  <si>
    <t>A14</t>
  </si>
  <si>
    <t>Fuel Truck</t>
  </si>
  <si>
    <t>Program fueling support</t>
  </si>
  <si>
    <t>A15</t>
  </si>
  <si>
    <t>Heavy Haul Lowboy Trailer</t>
  </si>
  <si>
    <t>Volvo / Mack / Scania</t>
  </si>
  <si>
    <t>Configuration to confirm</t>
  </si>
  <si>
    <t>Equipment mobilization - select best 4 only</t>
  </si>
  <si>
    <t>A16</t>
  </si>
  <si>
    <t>Hookloader Truck</t>
  </si>
  <si>
    <t>Debris / waste logistics - select best 4 only</t>
  </si>
  <si>
    <t>A17</t>
  </si>
  <si>
    <t>Hookloader Bins</t>
  </si>
  <si>
    <t>Capacity to confirm</t>
  </si>
  <si>
    <t>Waste/debris segregation - identify 16 only</t>
  </si>
  <si>
    <t>A18</t>
  </si>
  <si>
    <t>Mobile Concrete Crusher</t>
  </si>
  <si>
    <t>Model / TPH to confirm</t>
  </si>
  <si>
    <t>Initial processing pads; target requirement approx. 200-300 TPH</t>
  </si>
  <si>
    <t>A19</t>
  </si>
  <si>
    <t>Mobile Screening Plant</t>
  </si>
  <si>
    <t>Matched to crusher production</t>
  </si>
  <si>
    <t>A20</t>
  </si>
  <si>
    <t>Conveyor / Stacker</t>
  </si>
  <si>
    <t>Model / capacity to confirm</t>
  </si>
  <si>
    <t>Processing facility</t>
  </si>
  <si>
    <t>A21</t>
  </si>
  <si>
    <t>Telehandler</t>
  </si>
  <si>
    <t>Mission / logistics support - select best 2 only</t>
  </si>
  <si>
    <t>A22</t>
  </si>
  <si>
    <t>Forklift</t>
  </si>
  <si>
    <t>15-ton / 18-ton</t>
  </si>
  <si>
    <t>Processing / logistics support - select best 2 only</t>
  </si>
  <si>
    <t>A23</t>
  </si>
  <si>
    <t>Rough Terrain Crane</t>
  </si>
  <si>
    <t>30-130 ton range</t>
  </si>
  <si>
    <t>Specialty lifting - select suitable 2 only</t>
  </si>
  <si>
    <t>A24</t>
  </si>
  <si>
    <t>Generator</t>
  </si>
  <si>
    <t>15-1,000 kVA range</t>
  </si>
  <si>
    <t>Mission / processing-pad power - select suitable 4 only</t>
  </si>
  <si>
    <t>A25</t>
  </si>
  <si>
    <t>Air Compressor</t>
  </si>
  <si>
    <t>Model / CFM to confirm</t>
  </si>
  <si>
    <t>Field support - select best 2 only</t>
  </si>
  <si>
    <t>A26</t>
  </si>
  <si>
    <t>Lighting Tower</t>
  </si>
  <si>
    <t>Mission / processing-pad lighting</t>
  </si>
  <si>
    <t>A27</t>
  </si>
  <si>
    <t>Water Pump</t>
  </si>
  <si>
    <t>Model / flow / head to confirm</t>
  </si>
  <si>
    <t>Runoff / dewatering / environmental control</t>
  </si>
  <si>
    <t>A28</t>
  </si>
  <si>
    <t>Welding Plant</t>
  </si>
  <si>
    <t>Lincoln</t>
  </si>
  <si>
    <t>Field maintenance / repair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</si>
</sst>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66B445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3" xfId="0" applyFont="1" applyBorder="1" applyAlignment="1">
      <alignment horizontal="left" vertical="center" wrapText="1"/>
    </xf>
    <xf numFmtId="0" fontId="2" fillId="3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81C97-4830-44EE-9C29-8256ECA1988A}">
  <dimension ref="A1:Q114"/>
  <sheetViews>
    <sheetView tabSelected="1" workbookViewId="0">
      <selection activeCell="C3" sqref="C3"/>
    </sheetView>
  </sheetViews>
  <sheetFormatPr defaultRowHeight="14.4" x14ac:dyDescent="0.3"/>
  <cols>
    <col min="2" max="2" width="39.6640625" customWidth="1"/>
    <col min="3" max="3" width="10.6640625" customWidth="1"/>
    <col min="4" max="4" width="37.77734375" customWidth="1"/>
    <col min="5" max="5" width="9" customWidth="1"/>
    <col min="6" max="6" width="14.109375" customWidth="1"/>
    <col min="7" max="7" width="8.109375" customWidth="1"/>
    <col min="8" max="8" width="15" customWidth="1"/>
    <col min="9" max="9" width="16.33203125" customWidth="1"/>
    <col min="10" max="10" width="15.109375" customWidth="1"/>
    <col min="11" max="11" width="17" customWidth="1"/>
    <col min="12" max="12" width="16" customWidth="1"/>
    <col min="13" max="13" width="15.44140625" customWidth="1"/>
    <col min="14" max="14" width="14.33203125" customWidth="1"/>
    <col min="15" max="15" width="18.21875" customWidth="1"/>
    <col min="16" max="16" width="14.77734375" customWidth="1"/>
    <col min="17" max="17" width="13.33203125" customWidth="1"/>
  </cols>
  <sheetData>
    <row r="1" spans="1:17" ht="47.4" thickBot="1" x14ac:dyDescent="0.3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 ht="40.049999999999997" customHeight="1" thickBot="1" x14ac:dyDescent="0.35">
      <c r="A2" s="4">
        <v>1</v>
      </c>
      <c r="B2" s="5" t="s">
        <v>17</v>
      </c>
      <c r="C2" s="6">
        <v>1</v>
      </c>
      <c r="D2" s="6" t="s">
        <v>18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</row>
    <row r="3" spans="1:17" ht="40.049999999999997" customHeight="1" thickBot="1" x14ac:dyDescent="0.35">
      <c r="A3" s="4">
        <f>+A2+1</f>
        <v>2</v>
      </c>
      <c r="B3" s="5" t="s">
        <v>19</v>
      </c>
      <c r="C3" s="6">
        <v>2</v>
      </c>
      <c r="D3" s="6" t="s">
        <v>18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</row>
    <row r="4" spans="1:17" ht="40.049999999999997" customHeight="1" thickBot="1" x14ac:dyDescent="0.35">
      <c r="A4" s="4">
        <f t="shared" ref="A4:A67" si="0">+A3+1</f>
        <v>3</v>
      </c>
      <c r="B4" s="5" t="s">
        <v>20</v>
      </c>
      <c r="C4" s="6">
        <v>3</v>
      </c>
      <c r="D4" s="6" t="s">
        <v>18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</row>
    <row r="5" spans="1:17" ht="40.049999999999997" customHeight="1" thickBot="1" x14ac:dyDescent="0.35">
      <c r="A5" s="4">
        <f t="shared" si="0"/>
        <v>4</v>
      </c>
      <c r="B5" s="5" t="s">
        <v>21</v>
      </c>
      <c r="C5" s="6">
        <v>4</v>
      </c>
      <c r="D5" s="6" t="s">
        <v>18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</row>
    <row r="6" spans="1:17" ht="40.049999999999997" customHeight="1" thickBot="1" x14ac:dyDescent="0.35">
      <c r="A6" s="4">
        <f t="shared" si="0"/>
        <v>5</v>
      </c>
      <c r="B6" s="5" t="s">
        <v>22</v>
      </c>
      <c r="C6" s="6">
        <v>5</v>
      </c>
      <c r="D6" s="6" t="s">
        <v>18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spans="1:17" ht="40.049999999999997" customHeight="1" thickBot="1" x14ac:dyDescent="0.35">
      <c r="A7" s="4">
        <f t="shared" si="0"/>
        <v>6</v>
      </c>
      <c r="B7" s="5" t="s">
        <v>23</v>
      </c>
      <c r="C7" s="6">
        <v>6</v>
      </c>
      <c r="D7" s="6" t="s">
        <v>18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1:17" ht="40.049999999999997" customHeight="1" thickBot="1" x14ac:dyDescent="0.35">
      <c r="A8" s="4">
        <f t="shared" si="0"/>
        <v>7</v>
      </c>
      <c r="B8" s="5" t="s">
        <v>24</v>
      </c>
      <c r="C8" s="6">
        <v>1</v>
      </c>
      <c r="D8" s="6" t="s">
        <v>25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</row>
    <row r="9" spans="1:17" ht="40.049999999999997" customHeight="1" thickBot="1" x14ac:dyDescent="0.35">
      <c r="A9" s="4">
        <f t="shared" si="0"/>
        <v>8</v>
      </c>
      <c r="B9" s="5" t="s">
        <v>26</v>
      </c>
      <c r="C9" s="6">
        <v>2</v>
      </c>
      <c r="D9" s="6" t="s">
        <v>25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</row>
    <row r="10" spans="1:17" ht="40.049999999999997" customHeight="1" thickBot="1" x14ac:dyDescent="0.35">
      <c r="A10" s="4">
        <f t="shared" si="0"/>
        <v>9</v>
      </c>
      <c r="B10" s="5" t="s">
        <v>27</v>
      </c>
      <c r="C10" s="6">
        <v>3</v>
      </c>
      <c r="D10" s="6" t="s">
        <v>25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</row>
    <row r="11" spans="1:17" ht="40.049999999999997" customHeight="1" thickBot="1" x14ac:dyDescent="0.35">
      <c r="A11" s="4">
        <f t="shared" si="0"/>
        <v>10</v>
      </c>
      <c r="B11" s="5" t="s">
        <v>28</v>
      </c>
      <c r="C11" s="6">
        <v>4</v>
      </c>
      <c r="D11" s="6" t="s">
        <v>25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</row>
    <row r="12" spans="1:17" ht="40.049999999999997" customHeight="1" thickBot="1" x14ac:dyDescent="0.35">
      <c r="A12" s="4">
        <f t="shared" si="0"/>
        <v>11</v>
      </c>
      <c r="B12" s="5" t="s">
        <v>29</v>
      </c>
      <c r="C12" s="6">
        <v>1</v>
      </c>
      <c r="D12" s="6" t="s">
        <v>30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</row>
    <row r="13" spans="1:17" ht="40.049999999999997" customHeight="1" thickBot="1" x14ac:dyDescent="0.35">
      <c r="A13" s="4">
        <f t="shared" si="0"/>
        <v>12</v>
      </c>
      <c r="B13" s="5" t="s">
        <v>31</v>
      </c>
      <c r="C13" s="6">
        <v>2</v>
      </c>
      <c r="D13" s="6" t="s">
        <v>30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</row>
    <row r="14" spans="1:17" ht="40.049999999999997" customHeight="1" thickBot="1" x14ac:dyDescent="0.35">
      <c r="A14" s="4">
        <f t="shared" si="0"/>
        <v>13</v>
      </c>
      <c r="B14" s="5" t="s">
        <v>32</v>
      </c>
      <c r="C14" s="6">
        <v>3</v>
      </c>
      <c r="D14" s="6" t="s">
        <v>30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</row>
    <row r="15" spans="1:17" ht="40.049999999999997" customHeight="1" thickBot="1" x14ac:dyDescent="0.35">
      <c r="A15" s="4">
        <f t="shared" si="0"/>
        <v>14</v>
      </c>
      <c r="B15" s="5" t="s">
        <v>33</v>
      </c>
      <c r="C15" s="6">
        <v>4</v>
      </c>
      <c r="D15" s="6" t="s">
        <v>30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</row>
    <row r="16" spans="1:17" ht="40.049999999999997" customHeight="1" thickBot="1" x14ac:dyDescent="0.35">
      <c r="A16" s="4">
        <f t="shared" si="0"/>
        <v>15</v>
      </c>
      <c r="B16" s="5" t="s">
        <v>34</v>
      </c>
      <c r="C16" s="6">
        <v>1</v>
      </c>
      <c r="D16" s="6" t="s">
        <v>35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</row>
    <row r="17" spans="1:17" ht="40.049999999999997" customHeight="1" thickBot="1" x14ac:dyDescent="0.35">
      <c r="A17" s="4">
        <f t="shared" si="0"/>
        <v>16</v>
      </c>
      <c r="B17" s="5" t="s">
        <v>36</v>
      </c>
      <c r="C17" s="6">
        <v>2</v>
      </c>
      <c r="D17" s="6" t="s">
        <v>35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</row>
    <row r="18" spans="1:17" ht="40.049999999999997" customHeight="1" thickBot="1" x14ac:dyDescent="0.35">
      <c r="A18" s="4">
        <f t="shared" si="0"/>
        <v>17</v>
      </c>
      <c r="B18" s="5" t="s">
        <v>37</v>
      </c>
      <c r="C18" s="6">
        <v>3</v>
      </c>
      <c r="D18" s="6" t="s">
        <v>35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</row>
    <row r="19" spans="1:17" ht="40.049999999999997" customHeight="1" thickBot="1" x14ac:dyDescent="0.35">
      <c r="A19" s="4">
        <f t="shared" si="0"/>
        <v>18</v>
      </c>
      <c r="B19" s="5" t="s">
        <v>38</v>
      </c>
      <c r="C19" s="6">
        <v>1</v>
      </c>
      <c r="D19" s="6" t="s">
        <v>39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</row>
    <row r="20" spans="1:17" ht="40.049999999999997" customHeight="1" thickBot="1" x14ac:dyDescent="0.35">
      <c r="A20" s="4">
        <f t="shared" si="0"/>
        <v>19</v>
      </c>
      <c r="B20" s="5" t="s">
        <v>40</v>
      </c>
      <c r="C20" s="6">
        <v>2</v>
      </c>
      <c r="D20" s="6" t="s">
        <v>39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</row>
    <row r="21" spans="1:17" ht="40.049999999999997" customHeight="1" thickBot="1" x14ac:dyDescent="0.35">
      <c r="A21" s="4">
        <f t="shared" si="0"/>
        <v>20</v>
      </c>
      <c r="B21" s="5" t="s">
        <v>41</v>
      </c>
      <c r="C21" s="6">
        <v>3</v>
      </c>
      <c r="D21" s="6" t="s">
        <v>39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</row>
    <row r="22" spans="1:17" ht="40.049999999999997" customHeight="1" thickBot="1" x14ac:dyDescent="0.35">
      <c r="A22" s="4">
        <f t="shared" si="0"/>
        <v>21</v>
      </c>
      <c r="B22" s="5" t="s">
        <v>42</v>
      </c>
      <c r="C22" s="6">
        <v>1</v>
      </c>
      <c r="D22" s="6" t="s">
        <v>43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</row>
    <row r="23" spans="1:17" ht="40.049999999999997" customHeight="1" thickBot="1" x14ac:dyDescent="0.35">
      <c r="A23" s="4">
        <f t="shared" si="0"/>
        <v>22</v>
      </c>
      <c r="B23" s="5" t="s">
        <v>44</v>
      </c>
      <c r="C23" s="6">
        <v>2</v>
      </c>
      <c r="D23" s="6" t="s">
        <v>43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</row>
    <row r="24" spans="1:17" ht="40.049999999999997" customHeight="1" thickBot="1" x14ac:dyDescent="0.35">
      <c r="A24" s="4">
        <f t="shared" si="0"/>
        <v>23</v>
      </c>
      <c r="B24" s="5" t="s">
        <v>45</v>
      </c>
      <c r="C24" s="6">
        <v>3</v>
      </c>
      <c r="D24" s="6" t="s">
        <v>43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</row>
    <row r="25" spans="1:17" ht="40.049999999999997" customHeight="1" thickBot="1" x14ac:dyDescent="0.35">
      <c r="A25" s="4">
        <f t="shared" si="0"/>
        <v>24</v>
      </c>
      <c r="B25" s="5" t="s">
        <v>46</v>
      </c>
      <c r="C25" s="6">
        <v>4</v>
      </c>
      <c r="D25" s="6" t="s">
        <v>43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</row>
    <row r="26" spans="1:17" ht="40.049999999999997" customHeight="1" thickBot="1" x14ac:dyDescent="0.35">
      <c r="A26" s="4">
        <f t="shared" si="0"/>
        <v>25</v>
      </c>
      <c r="B26" s="5" t="s">
        <v>47</v>
      </c>
      <c r="C26" s="6">
        <v>5</v>
      </c>
      <c r="D26" s="6" t="s">
        <v>43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</row>
    <row r="27" spans="1:17" ht="40.049999999999997" customHeight="1" thickBot="1" x14ac:dyDescent="0.35">
      <c r="A27" s="4">
        <f t="shared" si="0"/>
        <v>26</v>
      </c>
      <c r="B27" s="5" t="s">
        <v>48</v>
      </c>
      <c r="C27" s="6">
        <v>6</v>
      </c>
      <c r="D27" s="6" t="s">
        <v>43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</row>
    <row r="28" spans="1:17" ht="40.049999999999997" customHeight="1" thickBot="1" x14ac:dyDescent="0.35">
      <c r="A28" s="4">
        <f t="shared" si="0"/>
        <v>27</v>
      </c>
      <c r="B28" s="5" t="s">
        <v>49</v>
      </c>
      <c r="C28" s="6">
        <v>1</v>
      </c>
      <c r="D28" s="6" t="s">
        <v>50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</row>
    <row r="29" spans="1:17" ht="40.049999999999997" customHeight="1" thickBot="1" x14ac:dyDescent="0.35">
      <c r="A29" s="4">
        <f t="shared" si="0"/>
        <v>28</v>
      </c>
      <c r="B29" s="5" t="s">
        <v>51</v>
      </c>
      <c r="C29" s="6">
        <v>2</v>
      </c>
      <c r="D29" s="6" t="s">
        <v>50</v>
      </c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</row>
    <row r="30" spans="1:17" ht="40.049999999999997" customHeight="1" thickBot="1" x14ac:dyDescent="0.35">
      <c r="A30" s="4">
        <f t="shared" si="0"/>
        <v>29</v>
      </c>
      <c r="B30" s="5" t="s">
        <v>52</v>
      </c>
      <c r="C30" s="6">
        <v>3</v>
      </c>
      <c r="D30" s="6" t="s">
        <v>50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</row>
    <row r="31" spans="1:17" ht="40.049999999999997" customHeight="1" thickBot="1" x14ac:dyDescent="0.35">
      <c r="A31" s="4">
        <f t="shared" si="0"/>
        <v>30</v>
      </c>
      <c r="B31" s="5" t="s">
        <v>53</v>
      </c>
      <c r="C31" s="6">
        <v>4</v>
      </c>
      <c r="D31" s="6" t="s">
        <v>50</v>
      </c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</row>
    <row r="32" spans="1:17" ht="40.049999999999997" customHeight="1" thickBot="1" x14ac:dyDescent="0.35">
      <c r="A32" s="4">
        <f t="shared" si="0"/>
        <v>31</v>
      </c>
      <c r="B32" s="5" t="s">
        <v>54</v>
      </c>
      <c r="C32" s="6">
        <v>1</v>
      </c>
      <c r="D32" s="6" t="s">
        <v>55</v>
      </c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</row>
    <row r="33" spans="1:17" ht="40.049999999999997" customHeight="1" thickBot="1" x14ac:dyDescent="0.35">
      <c r="A33" s="4">
        <f t="shared" si="0"/>
        <v>32</v>
      </c>
      <c r="B33" s="5" t="s">
        <v>56</v>
      </c>
      <c r="C33" s="6">
        <v>2</v>
      </c>
      <c r="D33" s="6" t="s">
        <v>55</v>
      </c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</row>
    <row r="34" spans="1:17" ht="40.049999999999997" customHeight="1" thickBot="1" x14ac:dyDescent="0.35">
      <c r="A34" s="4">
        <f t="shared" si="0"/>
        <v>33</v>
      </c>
      <c r="B34" s="5" t="s">
        <v>57</v>
      </c>
      <c r="C34" s="6">
        <v>1</v>
      </c>
      <c r="D34" s="6" t="s">
        <v>58</v>
      </c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</row>
    <row r="35" spans="1:17" ht="40.049999999999997" customHeight="1" thickBot="1" x14ac:dyDescent="0.35">
      <c r="A35" s="4">
        <f t="shared" si="0"/>
        <v>34</v>
      </c>
      <c r="B35" s="5" t="s">
        <v>59</v>
      </c>
      <c r="C35" s="6">
        <v>2</v>
      </c>
      <c r="D35" s="6" t="s">
        <v>58</v>
      </c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</row>
    <row r="36" spans="1:17" ht="40.049999999999997" customHeight="1" thickBot="1" x14ac:dyDescent="0.35">
      <c r="A36" s="4">
        <f t="shared" si="0"/>
        <v>35</v>
      </c>
      <c r="B36" s="5" t="s">
        <v>60</v>
      </c>
      <c r="C36" s="6">
        <v>3</v>
      </c>
      <c r="D36" s="6" t="s">
        <v>58</v>
      </c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</row>
    <row r="37" spans="1:17" ht="40.049999999999997" customHeight="1" thickBot="1" x14ac:dyDescent="0.35">
      <c r="A37" s="4">
        <f t="shared" si="0"/>
        <v>36</v>
      </c>
      <c r="B37" s="5" t="s">
        <v>61</v>
      </c>
      <c r="C37" s="6">
        <v>1</v>
      </c>
      <c r="D37" s="6" t="s">
        <v>62</v>
      </c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</row>
    <row r="38" spans="1:17" ht="40.049999999999997" customHeight="1" thickBot="1" x14ac:dyDescent="0.35">
      <c r="A38" s="4">
        <f t="shared" si="0"/>
        <v>37</v>
      </c>
      <c r="B38" s="5" t="s">
        <v>63</v>
      </c>
      <c r="C38" s="6">
        <v>2</v>
      </c>
      <c r="D38" s="6" t="s">
        <v>62</v>
      </c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</row>
    <row r="39" spans="1:17" ht="40.049999999999997" customHeight="1" thickBot="1" x14ac:dyDescent="0.35">
      <c r="A39" s="4">
        <f t="shared" si="0"/>
        <v>38</v>
      </c>
      <c r="B39" s="5" t="s">
        <v>64</v>
      </c>
      <c r="C39" s="6">
        <v>1</v>
      </c>
      <c r="D39" s="6" t="s">
        <v>65</v>
      </c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</row>
    <row r="40" spans="1:17" ht="40.049999999999997" customHeight="1" thickBot="1" x14ac:dyDescent="0.35">
      <c r="A40" s="4">
        <f t="shared" si="0"/>
        <v>39</v>
      </c>
      <c r="B40" s="5" t="s">
        <v>66</v>
      </c>
      <c r="C40" s="6">
        <v>2</v>
      </c>
      <c r="D40" s="6" t="s">
        <v>65</v>
      </c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</row>
    <row r="41" spans="1:17" ht="40.049999999999997" customHeight="1" thickBot="1" x14ac:dyDescent="0.35">
      <c r="A41" s="4">
        <f t="shared" si="0"/>
        <v>40</v>
      </c>
      <c r="B41" s="5" t="s">
        <v>67</v>
      </c>
      <c r="C41" s="6">
        <v>3</v>
      </c>
      <c r="D41" s="6" t="s">
        <v>65</v>
      </c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</row>
    <row r="42" spans="1:17" ht="40.049999999999997" customHeight="1" thickBot="1" x14ac:dyDescent="0.35">
      <c r="A42" s="4">
        <f t="shared" si="0"/>
        <v>41</v>
      </c>
      <c r="B42" s="5" t="s">
        <v>68</v>
      </c>
      <c r="C42" s="6">
        <v>4</v>
      </c>
      <c r="D42" s="6" t="s">
        <v>65</v>
      </c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</row>
    <row r="43" spans="1:17" ht="40.049999999999997" customHeight="1" thickBot="1" x14ac:dyDescent="0.35">
      <c r="A43" s="4">
        <f t="shared" si="0"/>
        <v>42</v>
      </c>
      <c r="B43" s="5" t="s">
        <v>69</v>
      </c>
      <c r="C43" s="6">
        <v>1</v>
      </c>
      <c r="D43" s="6" t="s">
        <v>70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</row>
    <row r="44" spans="1:17" ht="40.049999999999997" customHeight="1" thickBot="1" x14ac:dyDescent="0.35">
      <c r="A44" s="4">
        <f t="shared" si="0"/>
        <v>43</v>
      </c>
      <c r="B44" s="5" t="s">
        <v>71</v>
      </c>
      <c r="C44" s="6">
        <v>2</v>
      </c>
      <c r="D44" s="6" t="s">
        <v>70</v>
      </c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</row>
    <row r="45" spans="1:17" ht="40.049999999999997" customHeight="1" thickBot="1" x14ac:dyDescent="0.35">
      <c r="A45" s="4">
        <f t="shared" si="0"/>
        <v>44</v>
      </c>
      <c r="B45" s="5" t="s">
        <v>72</v>
      </c>
      <c r="C45" s="6">
        <v>3</v>
      </c>
      <c r="D45" s="6" t="s">
        <v>70</v>
      </c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</row>
    <row r="46" spans="1:17" ht="40.049999999999997" customHeight="1" thickBot="1" x14ac:dyDescent="0.35">
      <c r="A46" s="4">
        <f t="shared" si="0"/>
        <v>45</v>
      </c>
      <c r="B46" s="5" t="s">
        <v>73</v>
      </c>
      <c r="C46" s="6">
        <v>4</v>
      </c>
      <c r="D46" s="6" t="s">
        <v>70</v>
      </c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</row>
    <row r="47" spans="1:17" ht="40.049999999999997" customHeight="1" thickBot="1" x14ac:dyDescent="0.35">
      <c r="A47" s="4">
        <f t="shared" si="0"/>
        <v>46</v>
      </c>
      <c r="B47" s="5" t="s">
        <v>74</v>
      </c>
      <c r="C47" s="6">
        <v>5</v>
      </c>
      <c r="D47" s="6" t="s">
        <v>70</v>
      </c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</row>
    <row r="48" spans="1:17" ht="40.049999999999997" customHeight="1" thickBot="1" x14ac:dyDescent="0.35">
      <c r="A48" s="4">
        <f t="shared" si="0"/>
        <v>47</v>
      </c>
      <c r="B48" s="5" t="s">
        <v>75</v>
      </c>
      <c r="C48" s="6">
        <v>6</v>
      </c>
      <c r="D48" s="6" t="s">
        <v>70</v>
      </c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</row>
    <row r="49" spans="1:17" ht="40.049999999999997" customHeight="1" thickBot="1" x14ac:dyDescent="0.35">
      <c r="A49" s="4">
        <f t="shared" si="0"/>
        <v>48</v>
      </c>
      <c r="B49" s="5" t="s">
        <v>76</v>
      </c>
      <c r="C49" s="6">
        <v>7</v>
      </c>
      <c r="D49" s="6" t="s">
        <v>70</v>
      </c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</row>
    <row r="50" spans="1:17" ht="40.049999999999997" customHeight="1" thickBot="1" x14ac:dyDescent="0.35">
      <c r="A50" s="4">
        <f t="shared" si="0"/>
        <v>49</v>
      </c>
      <c r="B50" s="5" t="s">
        <v>77</v>
      </c>
      <c r="C50" s="6">
        <v>8</v>
      </c>
      <c r="D50" s="6" t="s">
        <v>70</v>
      </c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</row>
    <row r="51" spans="1:17" ht="40.049999999999997" customHeight="1" thickBot="1" x14ac:dyDescent="0.35">
      <c r="A51" s="4">
        <f t="shared" si="0"/>
        <v>50</v>
      </c>
      <c r="B51" s="5" t="s">
        <v>78</v>
      </c>
      <c r="C51" s="6">
        <v>9</v>
      </c>
      <c r="D51" s="6" t="s">
        <v>70</v>
      </c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</row>
    <row r="52" spans="1:17" ht="40.049999999999997" customHeight="1" thickBot="1" x14ac:dyDescent="0.35">
      <c r="A52" s="4">
        <f t="shared" si="0"/>
        <v>51</v>
      </c>
      <c r="B52" s="5" t="s">
        <v>79</v>
      </c>
      <c r="C52" s="6">
        <v>10</v>
      </c>
      <c r="D52" s="6" t="s">
        <v>70</v>
      </c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</row>
    <row r="53" spans="1:17" ht="40.049999999999997" customHeight="1" thickBot="1" x14ac:dyDescent="0.35">
      <c r="A53" s="4">
        <f t="shared" si="0"/>
        <v>52</v>
      </c>
      <c r="B53" s="5" t="s">
        <v>80</v>
      </c>
      <c r="C53" s="6">
        <v>11</v>
      </c>
      <c r="D53" s="6" t="s">
        <v>70</v>
      </c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</row>
    <row r="54" spans="1:17" ht="40.049999999999997" customHeight="1" thickBot="1" x14ac:dyDescent="0.35">
      <c r="A54" s="4">
        <f t="shared" si="0"/>
        <v>53</v>
      </c>
      <c r="B54" s="5" t="s">
        <v>81</v>
      </c>
      <c r="C54" s="6">
        <v>12</v>
      </c>
      <c r="D54" s="6" t="s">
        <v>70</v>
      </c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</row>
    <row r="55" spans="1:17" ht="40.049999999999997" customHeight="1" thickBot="1" x14ac:dyDescent="0.35">
      <c r="A55" s="4">
        <f t="shared" si="0"/>
        <v>54</v>
      </c>
      <c r="B55" s="5" t="s">
        <v>82</v>
      </c>
      <c r="C55" s="6">
        <v>13</v>
      </c>
      <c r="D55" s="6" t="s">
        <v>70</v>
      </c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</row>
    <row r="56" spans="1:17" ht="40.049999999999997" customHeight="1" thickBot="1" x14ac:dyDescent="0.35">
      <c r="A56" s="4">
        <f t="shared" si="0"/>
        <v>55</v>
      </c>
      <c r="B56" s="5" t="s">
        <v>83</v>
      </c>
      <c r="C56" s="6">
        <v>14</v>
      </c>
      <c r="D56" s="6" t="s">
        <v>70</v>
      </c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</row>
    <row r="57" spans="1:17" ht="40.049999999999997" customHeight="1" thickBot="1" x14ac:dyDescent="0.35">
      <c r="A57" s="4">
        <f t="shared" si="0"/>
        <v>56</v>
      </c>
      <c r="B57" s="5" t="s">
        <v>84</v>
      </c>
      <c r="C57" s="6">
        <v>15</v>
      </c>
      <c r="D57" s="6" t="s">
        <v>70</v>
      </c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</row>
    <row r="58" spans="1:17" ht="40.049999999999997" customHeight="1" thickBot="1" x14ac:dyDescent="0.35">
      <c r="A58" s="4">
        <f t="shared" si="0"/>
        <v>57</v>
      </c>
      <c r="B58" s="5" t="s">
        <v>85</v>
      </c>
      <c r="C58" s="6">
        <v>16</v>
      </c>
      <c r="D58" s="6" t="s">
        <v>70</v>
      </c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</row>
    <row r="59" spans="1:17" ht="40.049999999999997" customHeight="1" thickBot="1" x14ac:dyDescent="0.35">
      <c r="A59" s="4">
        <f t="shared" si="0"/>
        <v>58</v>
      </c>
      <c r="B59" s="5" t="s">
        <v>86</v>
      </c>
      <c r="C59" s="6">
        <v>1</v>
      </c>
      <c r="D59" s="6" t="s">
        <v>87</v>
      </c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</row>
    <row r="60" spans="1:17" ht="40.049999999999997" customHeight="1" thickBot="1" x14ac:dyDescent="0.35">
      <c r="A60" s="4">
        <f t="shared" si="0"/>
        <v>59</v>
      </c>
      <c r="B60" s="5" t="s">
        <v>88</v>
      </c>
      <c r="C60" s="6">
        <v>2</v>
      </c>
      <c r="D60" s="6" t="s">
        <v>87</v>
      </c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</row>
    <row r="61" spans="1:17" ht="40.049999999999997" customHeight="1" thickBot="1" x14ac:dyDescent="0.35">
      <c r="A61" s="4">
        <f t="shared" si="0"/>
        <v>60</v>
      </c>
      <c r="B61" s="5" t="s">
        <v>89</v>
      </c>
      <c r="C61" s="6">
        <v>3</v>
      </c>
      <c r="D61" s="6" t="s">
        <v>87</v>
      </c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</row>
    <row r="62" spans="1:17" ht="40.049999999999997" customHeight="1" thickBot="1" x14ac:dyDescent="0.35">
      <c r="A62" s="4">
        <f t="shared" si="0"/>
        <v>61</v>
      </c>
      <c r="B62" s="5" t="s">
        <v>90</v>
      </c>
      <c r="C62" s="6">
        <v>4</v>
      </c>
      <c r="D62" s="6" t="s">
        <v>87</v>
      </c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</row>
    <row r="63" spans="1:17" ht="40.049999999999997" customHeight="1" thickBot="1" x14ac:dyDescent="0.35">
      <c r="A63" s="4">
        <f t="shared" si="0"/>
        <v>62</v>
      </c>
      <c r="B63" s="5" t="s">
        <v>91</v>
      </c>
      <c r="C63" s="6">
        <v>1</v>
      </c>
      <c r="D63" s="6" t="s">
        <v>92</v>
      </c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</row>
    <row r="64" spans="1:17" ht="40.049999999999997" customHeight="1" thickBot="1" x14ac:dyDescent="0.35">
      <c r="A64" s="4">
        <f t="shared" si="0"/>
        <v>63</v>
      </c>
      <c r="B64" s="5" t="s">
        <v>93</v>
      </c>
      <c r="C64" s="6">
        <v>2</v>
      </c>
      <c r="D64" s="6" t="s">
        <v>92</v>
      </c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</row>
    <row r="65" spans="1:17" ht="40.049999999999997" customHeight="1" thickBot="1" x14ac:dyDescent="0.35">
      <c r="A65" s="4">
        <f t="shared" si="0"/>
        <v>64</v>
      </c>
      <c r="B65" s="5" t="s">
        <v>94</v>
      </c>
      <c r="C65" s="6">
        <v>3</v>
      </c>
      <c r="D65" s="6" t="s">
        <v>92</v>
      </c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</row>
    <row r="66" spans="1:17" ht="40.049999999999997" customHeight="1" thickBot="1" x14ac:dyDescent="0.35">
      <c r="A66" s="4">
        <f t="shared" si="0"/>
        <v>65</v>
      </c>
      <c r="B66" s="5" t="s">
        <v>95</v>
      </c>
      <c r="C66" s="6">
        <v>1</v>
      </c>
      <c r="D66" s="6" t="s">
        <v>96</v>
      </c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</row>
    <row r="67" spans="1:17" ht="40.049999999999997" customHeight="1" thickBot="1" x14ac:dyDescent="0.35">
      <c r="A67" s="4">
        <f t="shared" si="0"/>
        <v>66</v>
      </c>
      <c r="B67" s="5" t="s">
        <v>97</v>
      </c>
      <c r="C67" s="6">
        <v>2</v>
      </c>
      <c r="D67" s="6" t="s">
        <v>96</v>
      </c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</row>
    <row r="68" spans="1:17" ht="40.049999999999997" customHeight="1" thickBot="1" x14ac:dyDescent="0.35">
      <c r="A68" s="4">
        <f t="shared" ref="A68:A114" si="1">+A67+1</f>
        <v>67</v>
      </c>
      <c r="B68" s="5" t="s">
        <v>98</v>
      </c>
      <c r="C68" s="6">
        <v>3</v>
      </c>
      <c r="D68" s="6" t="s">
        <v>96</v>
      </c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</row>
    <row r="69" spans="1:17" ht="40.049999999999997" customHeight="1" thickBot="1" x14ac:dyDescent="0.35">
      <c r="A69" s="4">
        <f t="shared" si="1"/>
        <v>68</v>
      </c>
      <c r="B69" s="5" t="s">
        <v>99</v>
      </c>
      <c r="C69" s="6">
        <v>4</v>
      </c>
      <c r="D69" s="6" t="s">
        <v>96</v>
      </c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</row>
    <row r="70" spans="1:17" ht="40.049999999999997" customHeight="1" thickBot="1" x14ac:dyDescent="0.35">
      <c r="A70" s="4">
        <f t="shared" si="1"/>
        <v>69</v>
      </c>
      <c r="B70" s="5" t="s">
        <v>100</v>
      </c>
      <c r="C70" s="6">
        <v>1</v>
      </c>
      <c r="D70" s="6" t="s">
        <v>101</v>
      </c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</row>
    <row r="71" spans="1:17" ht="40.049999999999997" customHeight="1" thickBot="1" x14ac:dyDescent="0.35">
      <c r="A71" s="4">
        <f t="shared" si="1"/>
        <v>70</v>
      </c>
      <c r="B71" s="5" t="s">
        <v>102</v>
      </c>
      <c r="C71" s="6">
        <v>2</v>
      </c>
      <c r="D71" s="6" t="s">
        <v>101</v>
      </c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</row>
    <row r="72" spans="1:17" ht="40.049999999999997" customHeight="1" thickBot="1" x14ac:dyDescent="0.35">
      <c r="A72" s="4">
        <f t="shared" si="1"/>
        <v>71</v>
      </c>
      <c r="B72" s="5" t="s">
        <v>103</v>
      </c>
      <c r="C72" s="6">
        <v>3</v>
      </c>
      <c r="D72" s="6" t="s">
        <v>101</v>
      </c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</row>
    <row r="73" spans="1:17" ht="40.049999999999997" customHeight="1" thickBot="1" x14ac:dyDescent="0.35">
      <c r="A73" s="4">
        <f t="shared" si="1"/>
        <v>72</v>
      </c>
      <c r="B73" s="5" t="s">
        <v>104</v>
      </c>
      <c r="C73" s="6">
        <v>4</v>
      </c>
      <c r="D73" s="6" t="s">
        <v>101</v>
      </c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</row>
    <row r="74" spans="1:17" ht="40.049999999999997" customHeight="1" thickBot="1" x14ac:dyDescent="0.35">
      <c r="A74" s="4">
        <f t="shared" si="1"/>
        <v>73</v>
      </c>
      <c r="B74" s="5" t="s">
        <v>105</v>
      </c>
      <c r="C74" s="6" t="s">
        <v>106</v>
      </c>
      <c r="D74" s="6" t="s">
        <v>107</v>
      </c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</row>
    <row r="75" spans="1:17" ht="40.049999999999997" customHeight="1" thickBot="1" x14ac:dyDescent="0.35">
      <c r="A75" s="4">
        <f t="shared" si="1"/>
        <v>74</v>
      </c>
      <c r="B75" s="5" t="s">
        <v>108</v>
      </c>
      <c r="C75" s="6" t="s">
        <v>109</v>
      </c>
      <c r="D75" s="6" t="s">
        <v>107</v>
      </c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</row>
    <row r="76" spans="1:17" ht="40.049999999999997" customHeight="1" thickBot="1" x14ac:dyDescent="0.35">
      <c r="A76" s="4">
        <f t="shared" si="1"/>
        <v>75</v>
      </c>
      <c r="B76" s="5" t="s">
        <v>110</v>
      </c>
      <c r="C76" s="6" t="s">
        <v>111</v>
      </c>
      <c r="D76" s="6" t="s">
        <v>107</v>
      </c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</row>
    <row r="77" spans="1:17" ht="40.049999999999997" customHeight="1" thickBot="1" x14ac:dyDescent="0.35">
      <c r="A77" s="4">
        <f t="shared" si="1"/>
        <v>76</v>
      </c>
      <c r="B77" s="5" t="s">
        <v>112</v>
      </c>
      <c r="C77" s="6" t="s">
        <v>113</v>
      </c>
      <c r="D77" s="6" t="s">
        <v>107</v>
      </c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</row>
    <row r="78" spans="1:17" ht="40.049999999999997" customHeight="1" thickBot="1" x14ac:dyDescent="0.35">
      <c r="A78" s="4">
        <f t="shared" si="1"/>
        <v>77</v>
      </c>
      <c r="B78" s="5" t="s">
        <v>114</v>
      </c>
      <c r="C78" s="6">
        <v>1</v>
      </c>
      <c r="D78" s="6" t="s">
        <v>115</v>
      </c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</row>
    <row r="79" spans="1:17" ht="40.049999999999997" customHeight="1" thickBot="1" x14ac:dyDescent="0.35">
      <c r="A79" s="4">
        <f t="shared" si="1"/>
        <v>78</v>
      </c>
      <c r="B79" s="5" t="s">
        <v>116</v>
      </c>
      <c r="C79" s="6">
        <v>2</v>
      </c>
      <c r="D79" s="6" t="s">
        <v>115</v>
      </c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</row>
    <row r="80" spans="1:17" ht="40.049999999999997" customHeight="1" thickBot="1" x14ac:dyDescent="0.35">
      <c r="A80" s="4">
        <f t="shared" si="1"/>
        <v>79</v>
      </c>
      <c r="B80" s="5" t="s">
        <v>117</v>
      </c>
      <c r="C80" s="6">
        <v>3</v>
      </c>
      <c r="D80" s="6" t="s">
        <v>115</v>
      </c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</row>
    <row r="81" spans="1:17" ht="40.049999999999997" customHeight="1" thickBot="1" x14ac:dyDescent="0.35">
      <c r="A81" s="4">
        <f t="shared" si="1"/>
        <v>80</v>
      </c>
      <c r="B81" s="5" t="s">
        <v>118</v>
      </c>
      <c r="C81" s="6">
        <v>4</v>
      </c>
      <c r="D81" s="6" t="s">
        <v>115</v>
      </c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</row>
    <row r="82" spans="1:17" ht="40.049999999999997" customHeight="1" thickBot="1" x14ac:dyDescent="0.35">
      <c r="A82" s="4">
        <f t="shared" si="1"/>
        <v>81</v>
      </c>
      <c r="B82" s="5" t="s">
        <v>119</v>
      </c>
      <c r="C82" s="6">
        <v>1</v>
      </c>
      <c r="D82" s="6" t="s">
        <v>120</v>
      </c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</row>
    <row r="83" spans="1:17" ht="40.049999999999997" customHeight="1" thickBot="1" x14ac:dyDescent="0.35">
      <c r="A83" s="4">
        <f t="shared" si="1"/>
        <v>82</v>
      </c>
      <c r="B83" s="5" t="s">
        <v>121</v>
      </c>
      <c r="C83" s="6">
        <v>2</v>
      </c>
      <c r="D83" s="6" t="s">
        <v>120</v>
      </c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</row>
    <row r="84" spans="1:17" ht="40.049999999999997" customHeight="1" thickBot="1" x14ac:dyDescent="0.35">
      <c r="A84" s="4">
        <f t="shared" si="1"/>
        <v>83</v>
      </c>
      <c r="B84" s="5" t="s">
        <v>122</v>
      </c>
      <c r="C84" s="6">
        <v>3</v>
      </c>
      <c r="D84" s="6" t="s">
        <v>120</v>
      </c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</row>
    <row r="85" spans="1:17" ht="40.049999999999997" customHeight="1" thickBot="1" x14ac:dyDescent="0.35">
      <c r="A85" s="4">
        <f t="shared" si="1"/>
        <v>84</v>
      </c>
      <c r="B85" s="5" t="s">
        <v>123</v>
      </c>
      <c r="C85" s="6">
        <v>4</v>
      </c>
      <c r="D85" s="6" t="s">
        <v>120</v>
      </c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</row>
    <row r="86" spans="1:17" ht="40.049999999999997" customHeight="1" thickBot="1" x14ac:dyDescent="0.35">
      <c r="A86" s="4">
        <f t="shared" si="1"/>
        <v>85</v>
      </c>
      <c r="B86" s="5" t="s">
        <v>124</v>
      </c>
      <c r="C86" s="6">
        <v>1</v>
      </c>
      <c r="D86" s="6" t="s">
        <v>125</v>
      </c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</row>
    <row r="87" spans="1:17" ht="40.049999999999997" customHeight="1" thickBot="1" x14ac:dyDescent="0.35">
      <c r="A87" s="4">
        <f t="shared" si="1"/>
        <v>86</v>
      </c>
      <c r="B87" s="5" t="s">
        <v>126</v>
      </c>
      <c r="C87" s="6">
        <v>1</v>
      </c>
      <c r="D87" s="6" t="s">
        <v>127</v>
      </c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</row>
    <row r="88" spans="1:17" ht="40.049999999999997" customHeight="1" thickBot="1" x14ac:dyDescent="0.35">
      <c r="A88" s="4">
        <f t="shared" si="1"/>
        <v>87</v>
      </c>
      <c r="B88" s="5" t="s">
        <v>128</v>
      </c>
      <c r="C88" s="6">
        <v>2</v>
      </c>
      <c r="D88" s="6" t="s">
        <v>127</v>
      </c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</row>
    <row r="89" spans="1:17" ht="40.049999999999997" customHeight="1" thickBot="1" x14ac:dyDescent="0.35">
      <c r="A89" s="4">
        <f t="shared" si="1"/>
        <v>88</v>
      </c>
      <c r="B89" s="5" t="s">
        <v>129</v>
      </c>
      <c r="C89" s="6">
        <v>1</v>
      </c>
      <c r="D89" s="6" t="s">
        <v>130</v>
      </c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</row>
    <row r="90" spans="1:17" ht="40.049999999999997" customHeight="1" thickBot="1" x14ac:dyDescent="0.35">
      <c r="A90" s="4">
        <f t="shared" si="1"/>
        <v>89</v>
      </c>
      <c r="B90" s="5" t="s">
        <v>131</v>
      </c>
      <c r="C90" s="6">
        <v>2</v>
      </c>
      <c r="D90" s="6" t="s">
        <v>130</v>
      </c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</row>
    <row r="91" spans="1:17" ht="40.049999999999997" customHeight="1" thickBot="1" x14ac:dyDescent="0.35">
      <c r="A91" s="4">
        <f t="shared" si="1"/>
        <v>90</v>
      </c>
      <c r="B91" s="5" t="s">
        <v>132</v>
      </c>
      <c r="C91" s="6">
        <v>1</v>
      </c>
      <c r="D91" s="6" t="s">
        <v>133</v>
      </c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</row>
    <row r="92" spans="1:17" ht="40.049999999999997" customHeight="1" thickBot="1" x14ac:dyDescent="0.35">
      <c r="A92" s="4">
        <f t="shared" si="1"/>
        <v>91</v>
      </c>
      <c r="B92" s="5" t="s">
        <v>134</v>
      </c>
      <c r="C92" s="6">
        <v>2</v>
      </c>
      <c r="D92" s="6" t="s">
        <v>133</v>
      </c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</row>
    <row r="93" spans="1:17" ht="40.049999999999997" customHeight="1" thickBot="1" x14ac:dyDescent="0.35">
      <c r="A93" s="4">
        <f t="shared" si="1"/>
        <v>92</v>
      </c>
      <c r="B93" s="5" t="s">
        <v>135</v>
      </c>
      <c r="C93" s="6">
        <v>1</v>
      </c>
      <c r="D93" s="6" t="s">
        <v>136</v>
      </c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</row>
    <row r="94" spans="1:17" ht="40.049999999999997" customHeight="1" thickBot="1" x14ac:dyDescent="0.35">
      <c r="A94" s="4">
        <f t="shared" si="1"/>
        <v>93</v>
      </c>
      <c r="B94" s="5" t="s">
        <v>137</v>
      </c>
      <c r="C94" s="6">
        <v>2</v>
      </c>
      <c r="D94" s="6" t="s">
        <v>136</v>
      </c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</row>
    <row r="95" spans="1:17" ht="40.049999999999997" customHeight="1" thickBot="1" x14ac:dyDescent="0.35">
      <c r="A95" s="4">
        <f t="shared" si="1"/>
        <v>94</v>
      </c>
      <c r="B95" s="5" t="s">
        <v>138</v>
      </c>
      <c r="C95" s="6">
        <v>3</v>
      </c>
      <c r="D95" s="6" t="s">
        <v>136</v>
      </c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</row>
    <row r="96" spans="1:17" ht="40.049999999999997" customHeight="1" thickBot="1" x14ac:dyDescent="0.35">
      <c r="A96" s="4">
        <f t="shared" si="1"/>
        <v>95</v>
      </c>
      <c r="B96" s="5" t="s">
        <v>139</v>
      </c>
      <c r="C96" s="6">
        <v>4</v>
      </c>
      <c r="D96" s="6" t="s">
        <v>136</v>
      </c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</row>
    <row r="97" spans="1:17" ht="40.049999999999997" customHeight="1" thickBot="1" x14ac:dyDescent="0.35">
      <c r="A97" s="4">
        <f t="shared" si="1"/>
        <v>96</v>
      </c>
      <c r="B97" s="5" t="s">
        <v>140</v>
      </c>
      <c r="C97" s="6">
        <v>1</v>
      </c>
      <c r="D97" s="6" t="s">
        <v>141</v>
      </c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</row>
    <row r="98" spans="1:17" ht="40.049999999999997" customHeight="1" thickBot="1" x14ac:dyDescent="0.35">
      <c r="A98" s="4">
        <f t="shared" si="1"/>
        <v>97</v>
      </c>
      <c r="B98" s="5" t="s">
        <v>142</v>
      </c>
      <c r="C98" s="6">
        <v>2</v>
      </c>
      <c r="D98" s="6" t="s">
        <v>141</v>
      </c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</row>
    <row r="99" spans="1:17" ht="40.049999999999997" customHeight="1" thickBot="1" x14ac:dyDescent="0.35">
      <c r="A99" s="4">
        <f t="shared" si="1"/>
        <v>98</v>
      </c>
      <c r="B99" s="5" t="s">
        <v>143</v>
      </c>
      <c r="C99" s="6">
        <v>1</v>
      </c>
      <c r="D99" s="6" t="s">
        <v>144</v>
      </c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</row>
    <row r="100" spans="1:17" ht="40.049999999999997" customHeight="1" thickBot="1" x14ac:dyDescent="0.35">
      <c r="A100" s="4">
        <f t="shared" si="1"/>
        <v>99</v>
      </c>
      <c r="B100" s="5" t="s">
        <v>145</v>
      </c>
      <c r="C100" s="6">
        <v>2</v>
      </c>
      <c r="D100" s="6" t="s">
        <v>144</v>
      </c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</row>
    <row r="101" spans="1:17" ht="40.049999999999997" customHeight="1" thickBot="1" x14ac:dyDescent="0.35">
      <c r="A101" s="4">
        <f t="shared" si="1"/>
        <v>100</v>
      </c>
      <c r="B101" s="5" t="s">
        <v>146</v>
      </c>
      <c r="C101" s="6">
        <v>3</v>
      </c>
      <c r="D101" s="6" t="s">
        <v>144</v>
      </c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</row>
    <row r="102" spans="1:17" ht="40.049999999999997" customHeight="1" thickBot="1" x14ac:dyDescent="0.35">
      <c r="A102" s="4">
        <f t="shared" si="1"/>
        <v>101</v>
      </c>
      <c r="B102" s="5" t="s">
        <v>147</v>
      </c>
      <c r="C102" s="6">
        <v>4</v>
      </c>
      <c r="D102" s="6" t="s">
        <v>144</v>
      </c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</row>
    <row r="103" spans="1:17" ht="40.049999999999997" customHeight="1" thickBot="1" x14ac:dyDescent="0.35">
      <c r="A103" s="4">
        <f t="shared" si="1"/>
        <v>102</v>
      </c>
      <c r="B103" s="5" t="s">
        <v>148</v>
      </c>
      <c r="C103" s="6">
        <v>5</v>
      </c>
      <c r="D103" s="6" t="s">
        <v>144</v>
      </c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</row>
    <row r="104" spans="1:17" ht="40.049999999999997" customHeight="1" thickBot="1" x14ac:dyDescent="0.35">
      <c r="A104" s="4">
        <f t="shared" si="1"/>
        <v>103</v>
      </c>
      <c r="B104" s="5" t="s">
        <v>149</v>
      </c>
      <c r="C104" s="6">
        <v>6</v>
      </c>
      <c r="D104" s="6" t="s">
        <v>144</v>
      </c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</row>
    <row r="105" spans="1:17" ht="40.049999999999997" customHeight="1" thickBot="1" x14ac:dyDescent="0.35">
      <c r="A105" s="4">
        <f t="shared" si="1"/>
        <v>104</v>
      </c>
      <c r="B105" s="5" t="s">
        <v>150</v>
      </c>
      <c r="C105" s="6">
        <v>7</v>
      </c>
      <c r="D105" s="6" t="s">
        <v>144</v>
      </c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</row>
    <row r="106" spans="1:17" ht="40.049999999999997" customHeight="1" thickBot="1" x14ac:dyDescent="0.35">
      <c r="A106" s="4">
        <f t="shared" si="1"/>
        <v>105</v>
      </c>
      <c r="B106" s="5" t="s">
        <v>151</v>
      </c>
      <c r="C106" s="6">
        <v>8</v>
      </c>
      <c r="D106" s="6" t="s">
        <v>144</v>
      </c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</row>
    <row r="107" spans="1:17" ht="40.049999999999997" customHeight="1" thickBot="1" x14ac:dyDescent="0.35">
      <c r="A107" s="4">
        <f t="shared" si="1"/>
        <v>106</v>
      </c>
      <c r="B107" s="5" t="s">
        <v>152</v>
      </c>
      <c r="C107" s="6">
        <v>1</v>
      </c>
      <c r="D107" s="6" t="s">
        <v>153</v>
      </c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</row>
    <row r="108" spans="1:17" ht="40.049999999999997" customHeight="1" thickBot="1" x14ac:dyDescent="0.35">
      <c r="A108" s="4">
        <f t="shared" si="1"/>
        <v>107</v>
      </c>
      <c r="B108" s="5" t="s">
        <v>154</v>
      </c>
      <c r="C108" s="6">
        <v>2</v>
      </c>
      <c r="D108" s="6" t="s">
        <v>153</v>
      </c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</row>
    <row r="109" spans="1:17" ht="40.049999999999997" customHeight="1" thickBot="1" x14ac:dyDescent="0.35">
      <c r="A109" s="4">
        <f t="shared" si="1"/>
        <v>108</v>
      </c>
      <c r="B109" s="5" t="s">
        <v>155</v>
      </c>
      <c r="C109" s="6">
        <v>3</v>
      </c>
      <c r="D109" s="6" t="s">
        <v>153</v>
      </c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</row>
    <row r="110" spans="1:17" ht="40.049999999999997" customHeight="1" thickBot="1" x14ac:dyDescent="0.35">
      <c r="A110" s="4">
        <f t="shared" si="1"/>
        <v>109</v>
      </c>
      <c r="B110" s="5" t="s">
        <v>156</v>
      </c>
      <c r="C110" s="6">
        <v>4</v>
      </c>
      <c r="D110" s="6" t="s">
        <v>153</v>
      </c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</row>
    <row r="111" spans="1:17" ht="40.049999999999997" customHeight="1" thickBot="1" x14ac:dyDescent="0.35">
      <c r="A111" s="4">
        <f t="shared" si="1"/>
        <v>110</v>
      </c>
      <c r="B111" s="5" t="s">
        <v>157</v>
      </c>
      <c r="C111" s="6">
        <v>1</v>
      </c>
      <c r="D111" s="6" t="s">
        <v>158</v>
      </c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</row>
    <row r="112" spans="1:17" ht="40.049999999999997" customHeight="1" thickBot="1" x14ac:dyDescent="0.35">
      <c r="A112" s="4">
        <f t="shared" si="1"/>
        <v>111</v>
      </c>
      <c r="B112" s="5" t="s">
        <v>159</v>
      </c>
      <c r="C112" s="6">
        <v>2</v>
      </c>
      <c r="D112" s="6" t="s">
        <v>158</v>
      </c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</row>
    <row r="113" spans="1:17" ht="40.049999999999997" customHeight="1" thickBot="1" x14ac:dyDescent="0.35">
      <c r="A113" s="4">
        <f t="shared" si="1"/>
        <v>112</v>
      </c>
      <c r="B113" s="5" t="s">
        <v>160</v>
      </c>
      <c r="C113" s="6">
        <v>3</v>
      </c>
      <c r="D113" s="6" t="s">
        <v>158</v>
      </c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</row>
    <row r="114" spans="1:17" ht="40.049999999999997" customHeight="1" thickBot="1" x14ac:dyDescent="0.35">
      <c r="A114" s="4">
        <f t="shared" si="1"/>
        <v>113</v>
      </c>
      <c r="B114" s="5" t="s">
        <v>161</v>
      </c>
      <c r="C114" s="6">
        <v>4</v>
      </c>
      <c r="D114" s="6" t="s">
        <v>158</v>
      </c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F5ED9-6FAB-4795-9B44-6011A8041C07}">
  <dimension ref="A1:H29"/>
  <sheetViews>
    <sheetView workbookViewId="0">
      <selection activeCell="F2" sqref="F2:F29"/>
    </sheetView>
  </sheetViews>
  <sheetFormatPr defaultRowHeight="14.4" x14ac:dyDescent="0.3"/>
  <cols>
    <col min="1" max="1" width="15.77734375" customWidth="1"/>
    <col min="2" max="2" width="16.44140625" customWidth="1"/>
    <col min="3" max="3" width="17.33203125" customWidth="1"/>
    <col min="4" max="4" width="20.5546875" customWidth="1"/>
    <col min="5" max="5" width="13.6640625" customWidth="1"/>
    <col min="6" max="6" width="16.77734375" customWidth="1"/>
    <col min="7" max="7" width="30.44140625" customWidth="1"/>
    <col min="8" max="8" width="35.77734375" customWidth="1"/>
  </cols>
  <sheetData>
    <row r="1" spans="1:8" ht="47.4" thickBot="1" x14ac:dyDescent="0.35">
      <c r="A1" s="2" t="s">
        <v>1</v>
      </c>
      <c r="B1" s="3" t="s">
        <v>162</v>
      </c>
      <c r="C1" s="3" t="s">
        <v>163</v>
      </c>
      <c r="D1" s="3" t="s">
        <v>164</v>
      </c>
      <c r="E1" s="3" t="s">
        <v>165</v>
      </c>
      <c r="F1" s="3" t="s">
        <v>166</v>
      </c>
      <c r="G1" s="3" t="s">
        <v>167</v>
      </c>
      <c r="H1" s="3" t="s">
        <v>168</v>
      </c>
    </row>
    <row r="2" spans="1:8" ht="31.8" thickBot="1" x14ac:dyDescent="0.35">
      <c r="A2" s="5" t="s">
        <v>169</v>
      </c>
      <c r="B2" s="6" t="s">
        <v>170</v>
      </c>
      <c r="C2" s="6" t="s">
        <v>171</v>
      </c>
      <c r="D2" s="7">
        <v>349</v>
      </c>
      <c r="E2" s="4">
        <v>6</v>
      </c>
      <c r="F2" s="8">
        <v>6</v>
      </c>
      <c r="G2" s="6" t="s">
        <v>172</v>
      </c>
      <c r="H2" s="6"/>
    </row>
    <row r="3" spans="1:8" ht="31.8" thickBot="1" x14ac:dyDescent="0.35">
      <c r="A3" s="5" t="s">
        <v>173</v>
      </c>
      <c r="B3" s="6" t="s">
        <v>170</v>
      </c>
      <c r="C3" s="6" t="s">
        <v>171</v>
      </c>
      <c r="D3" s="7">
        <v>345</v>
      </c>
      <c r="E3" s="4">
        <v>4</v>
      </c>
      <c r="F3" s="8">
        <v>4</v>
      </c>
      <c r="G3" s="6" t="s">
        <v>174</v>
      </c>
      <c r="H3" s="6"/>
    </row>
    <row r="4" spans="1:8" ht="31.8" thickBot="1" x14ac:dyDescent="0.35">
      <c r="A4" s="5" t="s">
        <v>175</v>
      </c>
      <c r="B4" s="6" t="s">
        <v>170</v>
      </c>
      <c r="C4" s="6" t="s">
        <v>171</v>
      </c>
      <c r="D4" s="7">
        <v>336</v>
      </c>
      <c r="E4" s="4">
        <v>4</v>
      </c>
      <c r="F4" s="8">
        <v>4</v>
      </c>
      <c r="G4" s="6" t="s">
        <v>176</v>
      </c>
      <c r="H4" s="6"/>
    </row>
    <row r="5" spans="1:8" ht="31.8" thickBot="1" x14ac:dyDescent="0.35">
      <c r="A5" s="5" t="s">
        <v>177</v>
      </c>
      <c r="B5" s="6" t="s">
        <v>170</v>
      </c>
      <c r="C5" s="6" t="s">
        <v>171</v>
      </c>
      <c r="D5" s="7" t="s">
        <v>178</v>
      </c>
      <c r="E5" s="4">
        <v>3</v>
      </c>
      <c r="F5" s="8">
        <v>3</v>
      </c>
      <c r="G5" s="6" t="s">
        <v>176</v>
      </c>
      <c r="H5" s="6"/>
    </row>
    <row r="6" spans="1:8" ht="31.8" thickBot="1" x14ac:dyDescent="0.35">
      <c r="A6" s="5" t="s">
        <v>179</v>
      </c>
      <c r="B6" s="6" t="s">
        <v>170</v>
      </c>
      <c r="C6" s="6" t="s">
        <v>171</v>
      </c>
      <c r="D6" s="7" t="s">
        <v>180</v>
      </c>
      <c r="E6" s="4">
        <v>3</v>
      </c>
      <c r="F6" s="8">
        <v>3</v>
      </c>
      <c r="G6" s="6" t="s">
        <v>181</v>
      </c>
      <c r="H6" s="6"/>
    </row>
    <row r="7" spans="1:8" ht="31.8" thickBot="1" x14ac:dyDescent="0.35">
      <c r="A7" s="5" t="s">
        <v>182</v>
      </c>
      <c r="B7" s="6" t="s">
        <v>170</v>
      </c>
      <c r="C7" s="6" t="s">
        <v>171</v>
      </c>
      <c r="D7" s="7" t="s">
        <v>183</v>
      </c>
      <c r="E7" s="4">
        <v>6</v>
      </c>
      <c r="F7" s="8">
        <v>6</v>
      </c>
      <c r="G7" s="6" t="s">
        <v>181</v>
      </c>
      <c r="H7" s="6"/>
    </row>
    <row r="8" spans="1:8" ht="31.8" thickBot="1" x14ac:dyDescent="0.35">
      <c r="A8" s="5" t="s">
        <v>184</v>
      </c>
      <c r="B8" s="6" t="s">
        <v>170</v>
      </c>
      <c r="C8" s="6" t="s">
        <v>171</v>
      </c>
      <c r="D8" s="7" t="s">
        <v>185</v>
      </c>
      <c r="E8" s="4">
        <v>31</v>
      </c>
      <c r="F8" s="8" t="s">
        <v>186</v>
      </c>
      <c r="G8" s="6" t="s">
        <v>187</v>
      </c>
      <c r="H8" s="6"/>
    </row>
    <row r="9" spans="1:8" ht="16.2" thickBot="1" x14ac:dyDescent="0.35">
      <c r="A9" s="5" t="s">
        <v>188</v>
      </c>
      <c r="B9" s="6" t="s">
        <v>189</v>
      </c>
      <c r="C9" s="6" t="s">
        <v>171</v>
      </c>
      <c r="D9" s="7">
        <v>950</v>
      </c>
      <c r="E9" s="4">
        <v>2</v>
      </c>
      <c r="F9" s="8">
        <v>2</v>
      </c>
      <c r="G9" s="6" t="s">
        <v>190</v>
      </c>
      <c r="H9" s="6"/>
    </row>
    <row r="10" spans="1:8" ht="31.8" thickBot="1" x14ac:dyDescent="0.35">
      <c r="A10" s="5" t="s">
        <v>191</v>
      </c>
      <c r="B10" s="6" t="s">
        <v>189</v>
      </c>
      <c r="C10" s="6" t="s">
        <v>171</v>
      </c>
      <c r="D10" s="7">
        <v>966</v>
      </c>
      <c r="E10" s="4">
        <v>3</v>
      </c>
      <c r="F10" s="8">
        <v>3</v>
      </c>
      <c r="G10" s="6" t="s">
        <v>192</v>
      </c>
      <c r="H10" s="6"/>
    </row>
    <row r="11" spans="1:8" ht="31.8" thickBot="1" x14ac:dyDescent="0.35">
      <c r="A11" s="5" t="s">
        <v>193</v>
      </c>
      <c r="B11" s="6" t="s">
        <v>189</v>
      </c>
      <c r="C11" s="6" t="s">
        <v>171</v>
      </c>
      <c r="D11" s="7" t="s">
        <v>194</v>
      </c>
      <c r="E11" s="4">
        <v>6</v>
      </c>
      <c r="F11" s="8" t="s">
        <v>195</v>
      </c>
      <c r="G11" s="6" t="s">
        <v>196</v>
      </c>
      <c r="H11" s="6"/>
    </row>
    <row r="12" spans="1:8" ht="16.2" thickBot="1" x14ac:dyDescent="0.35">
      <c r="A12" s="5" t="s">
        <v>197</v>
      </c>
      <c r="B12" s="6" t="s">
        <v>198</v>
      </c>
      <c r="C12" s="6" t="s">
        <v>171</v>
      </c>
      <c r="D12" s="7" t="s">
        <v>199</v>
      </c>
      <c r="E12" s="4">
        <v>4</v>
      </c>
      <c r="F12" s="8">
        <v>4</v>
      </c>
      <c r="G12" s="6" t="s">
        <v>200</v>
      </c>
      <c r="H12" s="6"/>
    </row>
    <row r="13" spans="1:8" ht="47.4" thickBot="1" x14ac:dyDescent="0.35">
      <c r="A13" s="5" t="s">
        <v>201</v>
      </c>
      <c r="B13" s="6" t="s">
        <v>202</v>
      </c>
      <c r="C13" s="6" t="s">
        <v>203</v>
      </c>
      <c r="D13" s="7" t="s">
        <v>204</v>
      </c>
      <c r="E13" s="4">
        <v>50</v>
      </c>
      <c r="F13" s="8">
        <v>16</v>
      </c>
      <c r="G13" s="6" t="s">
        <v>205</v>
      </c>
      <c r="H13" s="6"/>
    </row>
    <row r="14" spans="1:8" ht="31.8" thickBot="1" x14ac:dyDescent="0.35">
      <c r="A14" s="5" t="s">
        <v>206</v>
      </c>
      <c r="B14" s="6" t="s">
        <v>207</v>
      </c>
      <c r="C14" s="6" t="s">
        <v>208</v>
      </c>
      <c r="D14" s="7" t="s">
        <v>209</v>
      </c>
      <c r="E14" s="4">
        <v>4</v>
      </c>
      <c r="F14" s="8">
        <v>4</v>
      </c>
      <c r="G14" s="6" t="s">
        <v>210</v>
      </c>
      <c r="H14" s="6"/>
    </row>
    <row r="15" spans="1:8" ht="16.2" thickBot="1" x14ac:dyDescent="0.35">
      <c r="A15" s="5" t="s">
        <v>211</v>
      </c>
      <c r="B15" s="6" t="s">
        <v>212</v>
      </c>
      <c r="C15" s="6" t="s">
        <v>203</v>
      </c>
      <c r="D15" s="7" t="s">
        <v>199</v>
      </c>
      <c r="E15" s="4">
        <v>3</v>
      </c>
      <c r="F15" s="8">
        <v>3</v>
      </c>
      <c r="G15" s="6" t="s">
        <v>213</v>
      </c>
      <c r="H15" s="6"/>
    </row>
    <row r="16" spans="1:8" ht="31.8" thickBot="1" x14ac:dyDescent="0.35">
      <c r="A16" s="5" t="s">
        <v>214</v>
      </c>
      <c r="B16" s="6" t="s">
        <v>215</v>
      </c>
      <c r="C16" s="6" t="s">
        <v>216</v>
      </c>
      <c r="D16" s="7" t="s">
        <v>217</v>
      </c>
      <c r="E16" s="4">
        <v>6</v>
      </c>
      <c r="F16" s="8">
        <v>4</v>
      </c>
      <c r="G16" s="6" t="s">
        <v>218</v>
      </c>
      <c r="H16" s="6"/>
    </row>
    <row r="17" spans="1:8" ht="31.8" thickBot="1" x14ac:dyDescent="0.35">
      <c r="A17" s="5" t="s">
        <v>219</v>
      </c>
      <c r="B17" s="6" t="s">
        <v>220</v>
      </c>
      <c r="C17" s="6" t="s">
        <v>203</v>
      </c>
      <c r="D17" s="7" t="s">
        <v>199</v>
      </c>
      <c r="E17" s="4">
        <v>6</v>
      </c>
      <c r="F17" s="8">
        <v>4</v>
      </c>
      <c r="G17" s="6" t="s">
        <v>221</v>
      </c>
      <c r="H17" s="6"/>
    </row>
    <row r="18" spans="1:8" ht="31.8" thickBot="1" x14ac:dyDescent="0.35">
      <c r="A18" s="5" t="s">
        <v>222</v>
      </c>
      <c r="B18" s="6" t="s">
        <v>223</v>
      </c>
      <c r="C18" s="6" t="s">
        <v>203</v>
      </c>
      <c r="D18" s="7" t="s">
        <v>224</v>
      </c>
      <c r="E18" s="4">
        <v>40</v>
      </c>
      <c r="F18" s="8">
        <v>16</v>
      </c>
      <c r="G18" s="6" t="s">
        <v>225</v>
      </c>
      <c r="H18" s="6"/>
    </row>
    <row r="19" spans="1:8" ht="47.4" thickBot="1" x14ac:dyDescent="0.35">
      <c r="A19" s="5" t="s">
        <v>226</v>
      </c>
      <c r="B19" s="6" t="s">
        <v>227</v>
      </c>
      <c r="C19" s="6" t="s">
        <v>203</v>
      </c>
      <c r="D19" s="7" t="s">
        <v>228</v>
      </c>
      <c r="E19" s="4">
        <v>6</v>
      </c>
      <c r="F19" s="8">
        <v>4</v>
      </c>
      <c r="G19" s="6" t="s">
        <v>229</v>
      </c>
      <c r="H19" s="6"/>
    </row>
    <row r="20" spans="1:8" ht="31.8" thickBot="1" x14ac:dyDescent="0.35">
      <c r="A20" s="5" t="s">
        <v>230</v>
      </c>
      <c r="B20" s="6" t="s">
        <v>231</v>
      </c>
      <c r="C20" s="6" t="s">
        <v>203</v>
      </c>
      <c r="D20" s="7" t="s">
        <v>228</v>
      </c>
      <c r="E20" s="4">
        <v>6</v>
      </c>
      <c r="F20" s="8">
        <v>4</v>
      </c>
      <c r="G20" s="6" t="s">
        <v>232</v>
      </c>
      <c r="H20" s="6"/>
    </row>
    <row r="21" spans="1:8" ht="31.8" thickBot="1" x14ac:dyDescent="0.35">
      <c r="A21" s="5" t="s">
        <v>233</v>
      </c>
      <c r="B21" s="6" t="s">
        <v>234</v>
      </c>
      <c r="C21" s="6" t="s">
        <v>203</v>
      </c>
      <c r="D21" s="7" t="s">
        <v>235</v>
      </c>
      <c r="E21" s="4">
        <v>1</v>
      </c>
      <c r="F21" s="8">
        <v>1</v>
      </c>
      <c r="G21" s="6" t="s">
        <v>236</v>
      </c>
      <c r="H21" s="6"/>
    </row>
    <row r="22" spans="1:8" ht="31.8" thickBot="1" x14ac:dyDescent="0.35">
      <c r="A22" s="5" t="s">
        <v>237</v>
      </c>
      <c r="B22" s="6" t="s">
        <v>238</v>
      </c>
      <c r="C22" s="6" t="s">
        <v>203</v>
      </c>
      <c r="D22" s="7" t="s">
        <v>235</v>
      </c>
      <c r="E22" s="4">
        <v>8</v>
      </c>
      <c r="F22" s="8">
        <v>2</v>
      </c>
      <c r="G22" s="6" t="s">
        <v>239</v>
      </c>
      <c r="H22" s="6"/>
    </row>
    <row r="23" spans="1:8" ht="31.8" thickBot="1" x14ac:dyDescent="0.35">
      <c r="A23" s="5" t="s">
        <v>240</v>
      </c>
      <c r="B23" s="6" t="s">
        <v>241</v>
      </c>
      <c r="C23" s="6" t="s">
        <v>203</v>
      </c>
      <c r="D23" s="7" t="s">
        <v>242</v>
      </c>
      <c r="E23" s="4">
        <v>6</v>
      </c>
      <c r="F23" s="8">
        <v>2</v>
      </c>
      <c r="G23" s="6" t="s">
        <v>243</v>
      </c>
      <c r="H23" s="6"/>
    </row>
    <row r="24" spans="1:8" ht="31.8" thickBot="1" x14ac:dyDescent="0.35">
      <c r="A24" s="5" t="s">
        <v>244</v>
      </c>
      <c r="B24" s="6" t="s">
        <v>245</v>
      </c>
      <c r="C24" s="6" t="s">
        <v>203</v>
      </c>
      <c r="D24" s="7" t="s">
        <v>246</v>
      </c>
      <c r="E24" s="4">
        <v>25</v>
      </c>
      <c r="F24" s="8">
        <v>2</v>
      </c>
      <c r="G24" s="6" t="s">
        <v>247</v>
      </c>
      <c r="H24" s="6"/>
    </row>
    <row r="25" spans="1:8" ht="31.8" thickBot="1" x14ac:dyDescent="0.35">
      <c r="A25" s="5" t="s">
        <v>248</v>
      </c>
      <c r="B25" s="6" t="s">
        <v>249</v>
      </c>
      <c r="C25" s="6" t="s">
        <v>203</v>
      </c>
      <c r="D25" s="7" t="s">
        <v>250</v>
      </c>
      <c r="E25" s="4">
        <v>20</v>
      </c>
      <c r="F25" s="8">
        <v>4</v>
      </c>
      <c r="G25" s="6" t="s">
        <v>251</v>
      </c>
      <c r="H25" s="6"/>
    </row>
    <row r="26" spans="1:8" ht="31.8" thickBot="1" x14ac:dyDescent="0.35">
      <c r="A26" s="5" t="s">
        <v>252</v>
      </c>
      <c r="B26" s="6" t="s">
        <v>253</v>
      </c>
      <c r="C26" s="6" t="s">
        <v>203</v>
      </c>
      <c r="D26" s="7" t="s">
        <v>254</v>
      </c>
      <c r="E26" s="4">
        <v>4</v>
      </c>
      <c r="F26" s="8">
        <v>2</v>
      </c>
      <c r="G26" s="6" t="s">
        <v>255</v>
      </c>
      <c r="H26" s="6"/>
    </row>
    <row r="27" spans="1:8" ht="31.8" thickBot="1" x14ac:dyDescent="0.35">
      <c r="A27" s="5" t="s">
        <v>256</v>
      </c>
      <c r="B27" s="6" t="s">
        <v>257</v>
      </c>
      <c r="C27" s="6" t="s">
        <v>203</v>
      </c>
      <c r="D27" s="7" t="s">
        <v>199</v>
      </c>
      <c r="E27" s="4">
        <v>20</v>
      </c>
      <c r="F27" s="8">
        <v>8</v>
      </c>
      <c r="G27" s="6" t="s">
        <v>258</v>
      </c>
      <c r="H27" s="6"/>
    </row>
    <row r="28" spans="1:8" ht="31.8" thickBot="1" x14ac:dyDescent="0.35">
      <c r="A28" s="5" t="s">
        <v>259</v>
      </c>
      <c r="B28" s="6" t="s">
        <v>260</v>
      </c>
      <c r="C28" s="6" t="s">
        <v>203</v>
      </c>
      <c r="D28" s="7" t="s">
        <v>261</v>
      </c>
      <c r="E28" s="4">
        <v>6</v>
      </c>
      <c r="F28" s="8">
        <v>4</v>
      </c>
      <c r="G28" s="6" t="s">
        <v>262</v>
      </c>
      <c r="H28" s="6"/>
    </row>
    <row r="29" spans="1:8" ht="16.2" thickBot="1" x14ac:dyDescent="0.35">
      <c r="A29" s="5" t="s">
        <v>263</v>
      </c>
      <c r="B29" s="6" t="s">
        <v>264</v>
      </c>
      <c r="C29" s="6" t="s">
        <v>265</v>
      </c>
      <c r="D29" s="7" t="s">
        <v>199</v>
      </c>
      <c r="E29" s="4">
        <v>15</v>
      </c>
      <c r="F29" s="8">
        <v>4</v>
      </c>
      <c r="G29" s="6" t="s">
        <v>266</v>
      </c>
      <c r="H29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Register</vt:lpstr>
      <vt:lpstr>Quantities Required for Venezue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Leslie Pichery</dc:creator>
  <cp:lastModifiedBy>Leslie Pichery</cp:lastModifiedBy>
  <dcterms:created xsi:type="dcterms:W3CDTF">2026-09-16T16:33:50Z</dcterms:created>
  <dcterms:modified xsi:type="dcterms:W3CDTF">2026-09-16T16:39:23Z</dcterms:modified>
</cp:coreProperties>
</file>